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/>
  </bookViews>
  <sheets>
    <sheet name="KPI Dashboard" sheetId="1" r:id="rId1"/>
    <sheet name="RFM Segments" sheetId="2" r:id="rId2"/>
    <sheet name="Hypothesis Test" sheetId="3" r:id="rId3"/>
    <sheet name="Logistics Heatma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<sst xmlns="http://schemas.openxmlformats.org/spreadsheetml/2006/main" count="111" uniqueCount="107">
  <si>
    <t>Olist E-Commerce — Executive Summary</t>
  </si>
  <si>
    <t>Brazilian marketplace | Delivered orders 2016–2018 | Olist public dataset</t>
  </si>
  <si>
    <t>Gross Revenue (2016–2018)</t>
  </si>
  <si>
    <t>Orders (Delivered Only)</t>
  </si>
  <si>
    <t>Average Order Value</t>
  </si>
  <si>
    <t>Unique Active Sellers</t>
  </si>
  <si>
    <t>Avg Rating (all delivered)</t>
  </si>
  <si>
    <t>% Customers Who Rebought</t>
  </si>
  <si>
    <t>Top 5 Revenue Categories</t>
  </si>
  <si>
    <t>Category</t>
  </si>
  <si>
    <t>Revenue (R$)</t>
  </si>
  <si>
    <t>Orders</t>
  </si>
  <si>
    <t>Avg Price (R$)</t>
  </si>
  <si>
    <t>bed_bath_table</t>
  </si>
  <si>
    <t>health_beauty</t>
  </si>
  <si>
    <t>sports_leisure</t>
  </si>
  <si>
    <t>computers_accessories</t>
  </si>
  <si>
    <t>furniture_decor</t>
  </si>
  <si>
    <t>Payment Method Mix</t>
  </si>
  <si>
    <t>Payment Type</t>
  </si>
  <si>
    <t>Revenue Share %</t>
  </si>
  <si>
    <t>credit_card</t>
  </si>
  <si>
    <t>boleto</t>
  </si>
  <si>
    <t>voucher</t>
  </si>
  <si>
    <t>debit_card</t>
  </si>
  <si>
    <t>Customer Segment</t>
  </si>
  <si>
    <t># Customers</t>
  </si>
  <si>
    <t>Avg Spend (R$)</t>
  </si>
  <si>
    <t>Total Revenue (R$)</t>
  </si>
  <si>
    <t>% Customers</t>
  </si>
  <si>
    <t>% Revenue</t>
  </si>
  <si>
    <t>Standard One-Time Buyers</t>
  </si>
  <si>
    <t>Promising High-Spenders</t>
  </si>
  <si>
    <t>Champions</t>
  </si>
  <si>
    <t>Lost / Churned</t>
  </si>
  <si>
    <t>Needs Attention (Repeat)</t>
  </si>
  <si>
    <t>Cant Lose Them (At Risk)</t>
  </si>
  <si>
    <t>Loyal Customers</t>
  </si>
  <si>
    <t>KEY INSIGHT:
Top 25% of customers (Champions + Promising High-Spenders) drive 41% of total revenue despite being just 25% of buyers.
97% of customers bought only ONCE — a major retention gap.
Recommendation: Launch loyalty rewards targeting "Promising High-Spenders" to convert them into Champions.</t>
  </si>
  <si>
    <t>H₀ (Null Hypothesis):   Delivery delay does NOT affect customer review scores.
H₁ (Alt. Hypothesis):   Delayed deliveries result in significantly LOWER review scores.
Significance Level (α):  0.05</t>
  </si>
  <si>
    <t>Results Comparison</t>
  </si>
  <si>
    <t>Metric</t>
  </si>
  <si>
    <t>On-Time / Early</t>
  </si>
  <si>
    <t>Delayed Delivery</t>
  </si>
  <si>
    <t>Sample Size (N)</t>
  </si>
  <si>
    <t>Mean Review Score</t>
  </si>
  <si>
    <t>Median Review Score</t>
  </si>
  <si>
    <t>Std Deviation</t>
  </si>
  <si>
    <t>% 1-Star Reviews</t>
  </si>
  <si>
    <t>% 5-Star Reviews</t>
  </si>
  <si>
    <t>Statistical Tests</t>
  </si>
  <si>
    <t>Test</t>
  </si>
  <si>
    <t>Statistic</t>
  </si>
  <si>
    <t>P-Value</t>
  </si>
  <si>
    <t>Verdict</t>
  </si>
  <si>
    <t>Welch's T-Test</t>
  </si>
  <si>
    <t>t = −89.55</t>
  </si>
  <si>
    <t>p &lt; 0.001</t>
  </si>
  <si>
    <t>Reject H₀</t>
  </si>
  <si>
    <t>Mann-Whitney U</t>
  </si>
  <si>
    <t>U = 152,419,611</t>
  </si>
  <si>
    <t>Chi-Square (χ²)</t>
  </si>
  <si>
    <t>χ² = 14,252.21</t>
  </si>
  <si>
    <t>Cohen's d (Effect Size)</t>
  </si>
  <si>
    <t>d = −1.44</t>
  </si>
  <si>
    <t>—</t>
  </si>
  <si>
    <t>LARGE effect</t>
  </si>
  <si>
    <t>All three tests confirm: delivery delay significantly lowers ratings (p &lt; 0.001). Cohen's d = 1.44 = extremely large practical effect.</t>
  </si>
  <si>
    <t>Review Score Distribution (Contingency Table)</t>
  </si>
  <si>
    <t>Review Score</t>
  </si>
  <si>
    <t>On-Time</t>
  </si>
  <si>
    <t>Delayed</t>
  </si>
  <si>
    <t>1-Star</t>
  </si>
  <si>
    <t>2-Star</t>
  </si>
  <si>
    <t>3-Star</t>
  </si>
  <si>
    <t>4-Star</t>
  </si>
  <si>
    <t>5-Star</t>
  </si>
  <si>
    <t>State</t>
  </si>
  <si>
    <t>Delivered Orders</t>
  </si>
  <si>
    <t>Avg Delivery Days</t>
  </si>
  <si>
    <t>Avg Estimated Days</t>
  </si>
  <si>
    <t>Delayed Orders</t>
  </si>
  <si>
    <t>Delay Rate %</t>
  </si>
  <si>
    <t>AL</t>
  </si>
  <si>
    <t>MA</t>
  </si>
  <si>
    <t>PI</t>
  </si>
  <si>
    <t>CE</t>
  </si>
  <si>
    <t>SE</t>
  </si>
  <si>
    <t>BA</t>
  </si>
  <si>
    <t>RJ</t>
  </si>
  <si>
    <t>TO</t>
  </si>
  <si>
    <t>PA</t>
  </si>
  <si>
    <t>ES</t>
  </si>
  <si>
    <t>RR</t>
  </si>
  <si>
    <t>MS</t>
  </si>
  <si>
    <t>PB</t>
  </si>
  <si>
    <t>PE</t>
  </si>
  <si>
    <t>RN</t>
  </si>
  <si>
    <t>SC</t>
  </si>
  <si>
    <t>LOGISTICS ALERT:
Northeastern states (AL, MA, PI, CE, SE) show 15–24% delay rates vs. São Paulo's 5.9% — roughly a 2.5–4x regional disparity.
Largest volume risk: RJ at 13.5% (1,664 delayed orders).
Likely driver: distance from fulfilment hubs concentrated in SP/MG (hypothesis, not tested here).
Recommendation: Partner with regional last-mile carriers or open fulfilment nodes in the Northeast (e.g. Recife) to cut delivery gaps.</t>
  </si>
  <si>
    <t>GO</t>
  </si>
  <si>
    <t>RS</t>
  </si>
  <si>
    <t>DF</t>
  </si>
  <si>
    <t>MT</t>
  </si>
  <si>
    <t>SP</t>
  </si>
  <si>
    <t>MG</t>
  </si>
  <si>
    <t>PR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</si>
</sst>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"/>
    <numFmt numFmtId="177" formatCode="0.00&quot;%&quot;"/>
    <numFmt numFmtId="178" formatCode="0.000"/>
    <numFmt numFmtId="179" formatCode="&quot;R$ &quot;#,##0"/>
    <numFmt numFmtId="180" formatCode="&quot;R$ &quot;0.00"/>
  </numFmts>
  <fonts count="32">
    <font>
      <sz val="11"/>
      <color theme="1"/>
      <name val="Calibri"/>
      <charset val="134"/>
      <scheme val="minor"/>
    </font>
    <font>
      <b/>
      <sz val="11"/>
      <color rgb="FFFFFFFF"/>
      <name val="Segoe UI"/>
      <charset val="134"/>
    </font>
    <font>
      <sz val="10"/>
      <color rgb="FF000000"/>
      <name val="Segoe UI"/>
      <charset val="134"/>
    </font>
    <font>
      <sz val="11"/>
      <color rgb="FF263238"/>
      <name val="Segoe UI"/>
      <charset val="134"/>
    </font>
    <font>
      <sz val="12"/>
      <color rgb="FFFFFFFF"/>
      <name val="Segoe UI"/>
      <charset val="134"/>
    </font>
    <font>
      <b/>
      <sz val="12"/>
      <color rgb="FF1E3A5F"/>
      <name val="Segoe UI"/>
      <charset val="134"/>
    </font>
    <font>
      <b/>
      <sz val="10"/>
      <color rgb="FF000000"/>
      <name val="Segoe UI"/>
      <charset val="134"/>
    </font>
    <font>
      <i/>
      <sz val="10"/>
      <color rgb="FF424242"/>
      <name val="Segoe UI"/>
      <charset val="134"/>
    </font>
    <font>
      <b/>
      <sz val="16"/>
      <color rgb="FF1E3A5F"/>
      <name val="Segoe UI"/>
      <charset val="134"/>
    </font>
    <font>
      <i/>
      <sz val="10"/>
      <color rgb="FF616161"/>
      <name val="Segoe UI"/>
      <charset val="134"/>
    </font>
    <font>
      <b/>
      <sz val="24"/>
      <color rgb="FFFFFFFF"/>
      <name val="Segoe UI"/>
      <charset val="134"/>
    </font>
    <font>
      <sz val="10"/>
      <color rgb="FFFFFFFF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F8E1"/>
        <bgColor rgb="FFFFF8E1"/>
      </patternFill>
    </fill>
    <fill>
      <patternFill patternType="solid">
        <fgColor rgb="FFC8E6C9"/>
        <bgColor rgb="FFC8E6C9"/>
      </patternFill>
    </fill>
    <fill>
      <patternFill patternType="solid">
        <fgColor rgb="FFFFCDD2"/>
        <bgColor rgb="FFFFCDD2"/>
      </patternFill>
    </fill>
    <fill>
      <patternFill patternType="solid">
        <fgColor rgb="FFE3F2FD"/>
        <bgColor rgb="FFE3F2FD"/>
      </patternFill>
    </fill>
    <fill>
      <patternFill patternType="solid">
        <fgColor rgb="FF1565C0"/>
        <bgColor rgb="FF1565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4" fillId="11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vertical="top" wrapText="1"/>
    </xf>
    <xf numFmtId="0" fontId="0" fillId="3" borderId="0" xfId="0" applyFill="1"/>
    <xf numFmtId="0" fontId="4" fillId="2" borderId="0" xfId="0" applyFont="1" applyFill="1" applyAlignment="1">
      <alignment vertical="center" wrapText="1"/>
    </xf>
    <xf numFmtId="0" fontId="0" fillId="2" borderId="0" xfId="0" applyFill="1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top" wrapText="1"/>
    </xf>
    <xf numFmtId="0" fontId="2" fillId="0" borderId="1" xfId="0" applyFont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3" fontId="2" fillId="6" borderId="1" xfId="0" applyNumberFormat="1" applyFont="1" applyFill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/>
    </xf>
    <xf numFmtId="2" fontId="2" fillId="6" borderId="1" xfId="0" applyNumberFormat="1" applyFont="1" applyFill="1" applyBorder="1" applyAlignment="1">
      <alignment horizontal="right" vertical="center"/>
    </xf>
    <xf numFmtId="177" fontId="2" fillId="6" borderId="1" xfId="0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79" fontId="10" fillId="2" borderId="2" xfId="0" applyNumberFormat="1" applyFont="1" applyFill="1" applyBorder="1" applyAlignment="1">
      <alignment horizontal="center" vertical="center"/>
    </xf>
    <xf numFmtId="0" fontId="0" fillId="2" borderId="3" xfId="0" applyFill="1" applyBorder="1"/>
    <xf numFmtId="3" fontId="10" fillId="2" borderId="2" xfId="0" applyNumberFormat="1" applyFont="1" applyFill="1" applyBorder="1" applyAlignment="1">
      <alignment horizontal="center" vertical="center"/>
    </xf>
    <xf numFmtId="180" fontId="10" fillId="2" borderId="2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0" fillId="7" borderId="3" xfId="0" applyFill="1" applyBorder="1"/>
    <xf numFmtId="2" fontId="10" fillId="2" borderId="2" xfId="0" applyNumberFormat="1" applyFont="1" applyFill="1" applyBorder="1" applyAlignment="1">
      <alignment horizontal="center" vertical="center"/>
    </xf>
    <xf numFmtId="10" fontId="10" fillId="2" borderId="2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right" vertical="center"/>
    </xf>
    <xf numFmtId="10" fontId="2" fillId="6" borderId="1" xfId="0" applyNumberFormat="1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Top 5 Revenue Categories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 Dashboard'!$C$12</c:f>
              <c:strCache>
                <c:ptCount val="1"/>
                <c:pt idx="0">
                  <c:v>Revenue (R$)</c:v>
                </c:pt>
              </c:strCache>
            </c:strRef>
          </c:tx>
          <c:spPr>
            <a:solidFill>
              <a:srgbClr val="1565C0"/>
            </a:solidFill>
            <a:ln>
              <a:noFill/>
              <a:prstDash val="solid"/>
            </a:ln>
          </c:spPr>
          <c:invertIfNegative val="0"/>
          <c:dLbls>
            <c:numFmt formatCode="#,##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'KPI Dashboard'!$B$13:$B$17</c:f>
              <c:strCache>
                <c:ptCount val="5"/>
                <c:pt idx="0">
                  <c:v>bed_bath_table</c:v>
                </c:pt>
                <c:pt idx="1">
                  <c:v>health_beauty</c:v>
                </c:pt>
                <c:pt idx="2">
                  <c:v>sports_leisure</c:v>
                </c:pt>
                <c:pt idx="3">
                  <c:v>computers_accessories</c:v>
                </c:pt>
                <c:pt idx="4">
                  <c:v>furniture_decor</c:v>
                </c:pt>
              </c:strCache>
            </c:strRef>
          </c:cat>
          <c:val>
            <c:numRef>
              <c:f>'KPI Dashboard'!$C$13:$C$17</c:f>
              <c:numCache>
                <c:formatCode>#,##0</c:formatCode>
                <c:ptCount val="5"/>
                <c:pt idx="0">
                  <c:v>1721482</c:v>
                </c:pt>
                <c:pt idx="1">
                  <c:v>1261213</c:v>
                </c:pt>
                <c:pt idx="2">
                  <c:v>1022476</c:v>
                </c:pt>
                <c:pt idx="3">
                  <c:v>933547</c:v>
                </c:pt>
                <c:pt idx="4">
                  <c:v>721301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1a95854-bac0-46a2-94c3-0de58a92636d}"/>
      </c:ext>
    </c:extLst>
  </c:chart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Payment Method Share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'KPI Dashboard'!$J$31</c:f>
              <c:strCache>
                <c:ptCount val="1"/>
                <c:pt idx="0">
                  <c:v>Revenue Share %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1565C0"/>
              </a:solidFill>
              <a:ln>
                <a:noFill/>
                <a:prstDash val="solid"/>
              </a:ln>
            </c:spPr>
          </c:dPt>
          <c:dPt>
            <c:idx val="1"/>
            <c:bubble3D val="0"/>
            <c:spPr>
              <a:solidFill>
                <a:srgbClr val="42A5F5"/>
              </a:solidFill>
              <a:ln>
                <a:noFill/>
                <a:prstDash val="solid"/>
              </a:ln>
            </c:spPr>
          </c:dPt>
          <c:dPt>
            <c:idx val="2"/>
            <c:bubble3D val="0"/>
            <c:spPr>
              <a:solidFill>
                <a:srgbClr val="90CAF9"/>
              </a:solidFill>
              <a:ln>
                <a:noFill/>
                <a:prstDash val="solid"/>
              </a:ln>
            </c:spPr>
          </c:dPt>
          <c:dPt>
            <c:idx val="3"/>
            <c:bubble3D val="0"/>
            <c:spPr>
              <a:solidFill>
                <a:srgbClr val="BBDEFB"/>
              </a:solidFill>
              <a:ln>
                <a:noFill/>
                <a:prstDash val="solid"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'KPI Dashboard'!$I$32:$I$35</c:f>
              <c:strCache>
                <c:ptCount val="4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</c:strCache>
            </c:strRef>
          </c:cat>
          <c:val>
            <c:numRef>
              <c:f>'KPI Dashboard'!$J$32:$J$35</c:f>
              <c:numCache>
                <c:formatCode>0.00%</c:formatCode>
                <c:ptCount val="4"/>
                <c:pt idx="0">
                  <c:v>0.7392</c:v>
                </c:pt>
                <c:pt idx="1">
                  <c:v>0.1904</c:v>
                </c:pt>
                <c:pt idx="2">
                  <c:v>0.0547</c:v>
                </c:pt>
                <c:pt idx="3">
                  <c:v>0.0157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0"/>
        </c:dLbls>
        <c:firstSliceAng val="0"/>
        <c:holeSize val="55"/>
      </c:doughnut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8d57f4-fac2-470a-b040-f8f80fff3352}"/>
      </c:ext>
    </c:extLst>
  </c:chart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Customers vs Revenue Share (bubble size = Avg Spend)</a:t>
            </a:r>
          </a:p>
        </c:rich>
      </c:tx>
      <c:layout/>
      <c:overlay val="0"/>
    </c:title>
    <c:autoTitleDeleted val="0"/>
    <c:plotArea>
      <c:layout/>
      <c:bubbleChart>
        <c:varyColors val="0"/>
        <c:ser>
          <c:idx val="0"/>
          <c:order val="0"/>
          <c:tx>
            <c:strRef>
              <c:f>'RFM Segments'!$A$2</c:f>
              <c:strCache>
                <c:ptCount val="1"/>
                <c:pt idx="0">
                  <c:v>Standard One-Time Buyers</c:v>
                </c:pt>
              </c:strCache>
            </c:strRef>
          </c:tx>
          <c:spPr>
            <a:solidFill>
              <a:srgbClr val="90A4AE"/>
            </a:solidFill>
            <a:ln>
              <a:solidFill>
                <a:srgbClr val="FFFFFF"/>
              </a:solidFill>
              <a:prstDash val="solid"/>
            </a:ln>
          </c:spPr>
          <c:invertIfNegative val="0"/>
          <c:dLbls>
            <c:delete val="1"/>
          </c:dLbls>
          <c:xVal>
            <c:numRef>
              <c:f>'RFM Segments'!$E$2</c:f>
              <c:numCache>
                <c:formatCode>0.00"%"</c:formatCode>
                <c:ptCount val="1"/>
                <c:pt idx="0">
                  <c:v>66.53</c:v>
                </c:pt>
              </c:numCache>
            </c:numRef>
          </c:xVal>
          <c:yVal>
            <c:numRef>
              <c:f>'RFM Segments'!$F$2</c:f>
              <c:numCache>
                <c:formatCode>0.00"%"</c:formatCode>
                <c:ptCount val="1"/>
                <c:pt idx="0">
                  <c:v>54.63</c:v>
                </c:pt>
              </c:numCache>
            </c:numRef>
          </c:yVal>
          <c:bubbleSize>
            <c:numRef>
              <c:f>'RFM Segments'!$C$2</c:f>
              <c:numCache>
                <c:formatCode>0.00</c:formatCode>
                <c:ptCount val="1"/>
                <c:pt idx="0">
                  <c:v>135.65</c:v>
                </c:pt>
              </c:numCache>
            </c:numRef>
          </c:bubbleSize>
          <c:bubble3D val="0"/>
        </c:ser>
        <c:ser>
          <c:idx val="1"/>
          <c:order val="1"/>
          <c:tx>
            <c:strRef>
              <c:f>'RFM Segments'!$A$3</c:f>
              <c:strCache>
                <c:ptCount val="1"/>
                <c:pt idx="0">
                  <c:v>Promising High-Spenders</c:v>
                </c:pt>
              </c:strCache>
            </c:strRef>
          </c:tx>
          <c:spPr>
            <a:solidFill>
              <a:srgbClr val="1565C0"/>
            </a:solidFill>
            <a:ln>
              <a:solidFill>
                <a:srgbClr val="FFFFFF"/>
              </a:solidFill>
              <a:prstDash val="solid"/>
            </a:ln>
          </c:spPr>
          <c:invertIfNegative val="0"/>
          <c:dLbls>
            <c:delete val="1"/>
          </c:dLbls>
          <c:xVal>
            <c:numRef>
              <c:f>'RFM Segments'!$E$3</c:f>
              <c:numCache>
                <c:formatCode>0.00"%"</c:formatCode>
                <c:ptCount val="1"/>
                <c:pt idx="0">
                  <c:v>24.07</c:v>
                </c:pt>
              </c:numCache>
            </c:numRef>
          </c:xVal>
          <c:yVal>
            <c:numRef>
              <c:f>'RFM Segments'!$F$3</c:f>
              <c:numCache>
                <c:formatCode>0.00"%"</c:formatCode>
                <c:ptCount val="1"/>
                <c:pt idx="0">
                  <c:v>38.07</c:v>
                </c:pt>
              </c:numCache>
            </c:numRef>
          </c:yVal>
          <c:bubbleSize>
            <c:numRef>
              <c:f>'RFM Segments'!$C$3</c:f>
              <c:numCache>
                <c:formatCode>0.00</c:formatCode>
                <c:ptCount val="1"/>
                <c:pt idx="0">
                  <c:v>261.26</c:v>
                </c:pt>
              </c:numCache>
            </c:numRef>
          </c:bubbleSize>
          <c:bubble3D val="0"/>
        </c:ser>
        <c:ser>
          <c:idx val="2"/>
          <c:order val="2"/>
          <c:tx>
            <c:strRef>
              <c:f>'RFM Segments'!$A$4</c:f>
              <c:strCache>
                <c:ptCount val="1"/>
                <c:pt idx="0">
                  <c:v>Champions</c:v>
                </c:pt>
              </c:strCache>
            </c:strRef>
          </c:tx>
          <c:spPr>
            <a:solidFill>
              <a:srgbClr val="2E7D32"/>
            </a:solidFill>
            <a:ln>
              <a:solidFill>
                <a:srgbClr val="FFFFFF"/>
              </a:solidFill>
              <a:prstDash val="solid"/>
            </a:ln>
          </c:spPr>
          <c:invertIfNegative val="0"/>
          <c:dLbls>
            <c:delete val="1"/>
          </c:dLbls>
          <c:xVal>
            <c:numRef>
              <c:f>'RFM Segments'!$E$4</c:f>
              <c:numCache>
                <c:formatCode>0.00"%"</c:formatCode>
                <c:ptCount val="1"/>
                <c:pt idx="0">
                  <c:v>1.47</c:v>
                </c:pt>
              </c:numCache>
            </c:numRef>
          </c:xVal>
          <c:yVal>
            <c:numRef>
              <c:f>'RFM Segments'!$F$4</c:f>
              <c:numCache>
                <c:formatCode>0.00"%"</c:formatCode>
                <c:ptCount val="1"/>
                <c:pt idx="0">
                  <c:v>3.06</c:v>
                </c:pt>
              </c:numCache>
            </c:numRef>
          </c:yVal>
          <c:bubbleSize>
            <c:numRef>
              <c:f>'RFM Segments'!$C$4</c:f>
              <c:numCache>
                <c:formatCode>0.00</c:formatCode>
                <c:ptCount val="1"/>
                <c:pt idx="0">
                  <c:v>343.67</c:v>
                </c:pt>
              </c:numCache>
            </c:numRef>
          </c:bubbleSize>
          <c:bubble3D val="0"/>
        </c:ser>
        <c:ser>
          <c:idx val="3"/>
          <c:order val="3"/>
          <c:tx>
            <c:strRef>
              <c:f>'RFM Segments'!$A$5</c:f>
              <c:strCache>
                <c:ptCount val="1"/>
                <c:pt idx="0">
                  <c:v>Lost / Churned</c:v>
                </c:pt>
              </c:strCache>
            </c:strRef>
          </c:tx>
          <c:spPr>
            <a:solidFill>
              <a:srgbClr val="C62828"/>
            </a:solidFill>
            <a:ln>
              <a:solidFill>
                <a:srgbClr val="FFFFFF"/>
              </a:solidFill>
              <a:prstDash val="solid"/>
            </a:ln>
          </c:spPr>
          <c:invertIfNegative val="0"/>
          <c:dLbls>
            <c:delete val="1"/>
          </c:dLbls>
          <c:xVal>
            <c:numRef>
              <c:f>'RFM Segments'!$E$5</c:f>
              <c:numCache>
                <c:formatCode>0.00"%"</c:formatCode>
                <c:ptCount val="1"/>
                <c:pt idx="0">
                  <c:v>6.39</c:v>
                </c:pt>
              </c:numCache>
            </c:numRef>
          </c:xVal>
          <c:yVal>
            <c:numRef>
              <c:f>'RFM Segments'!$F$5</c:f>
              <c:numCache>
                <c:formatCode>0.00"%"</c:formatCode>
                <c:ptCount val="1"/>
                <c:pt idx="0">
                  <c:v>1.69</c:v>
                </c:pt>
              </c:numCache>
            </c:numRef>
          </c:yVal>
          <c:bubbleSize>
            <c:numRef>
              <c:f>'RFM Segments'!$C$5</c:f>
              <c:numCache>
                <c:formatCode>0.00</c:formatCode>
                <c:ptCount val="1"/>
                <c:pt idx="0">
                  <c:v>43.69</c:v>
                </c:pt>
              </c:numCache>
            </c:numRef>
          </c:bubbleSize>
          <c:bubble3D val="0"/>
        </c:ser>
        <c:ser>
          <c:idx val="4"/>
          <c:order val="4"/>
          <c:tx>
            <c:strRef>
              <c:f>'RFM Segments'!$A$6</c:f>
              <c:strCache>
                <c:ptCount val="1"/>
                <c:pt idx="0">
                  <c:v>Needs Attention (Repeat)</c:v>
                </c:pt>
              </c:strCache>
            </c:strRef>
          </c:tx>
          <c:spPr>
            <a:solidFill>
              <a:srgbClr val="EF6C00"/>
            </a:solidFill>
            <a:ln>
              <a:solidFill>
                <a:srgbClr val="FFFFFF"/>
              </a:solidFill>
              <a:prstDash val="solid"/>
            </a:ln>
          </c:spPr>
          <c:invertIfNegative val="0"/>
          <c:dLbls>
            <c:delete val="1"/>
          </c:dLbls>
          <c:xVal>
            <c:numRef>
              <c:f>'RFM Segments'!$E$6</c:f>
              <c:numCache>
                <c:formatCode>0.00"%"</c:formatCode>
                <c:ptCount val="1"/>
                <c:pt idx="0">
                  <c:v>0.72</c:v>
                </c:pt>
              </c:numCache>
            </c:numRef>
          </c:xVal>
          <c:yVal>
            <c:numRef>
              <c:f>'RFM Segments'!$F$6</c:f>
              <c:numCache>
                <c:formatCode>0.00"%"</c:formatCode>
                <c:ptCount val="1"/>
                <c:pt idx="0">
                  <c:v>1.35</c:v>
                </c:pt>
              </c:numCache>
            </c:numRef>
          </c:yVal>
          <c:bubbleSize>
            <c:numRef>
              <c:f>'RFM Segments'!$C$6</c:f>
              <c:numCache>
                <c:formatCode>0.00</c:formatCode>
                <c:ptCount val="1"/>
                <c:pt idx="0">
                  <c:v>309.1</c:v>
                </c:pt>
              </c:numCache>
            </c:numRef>
          </c:bubbleSize>
          <c:bubble3D val="0"/>
        </c:ser>
        <c:ser>
          <c:idx val="5"/>
          <c:order val="5"/>
          <c:tx>
            <c:strRef>
              <c:f>'RFM Segments'!$A$7</c:f>
              <c:strCache>
                <c:ptCount val="1"/>
                <c:pt idx="0">
                  <c:v>Cant Lose Them (At Risk)</c:v>
                </c:pt>
              </c:strCache>
            </c:strRef>
          </c:tx>
          <c:spPr>
            <a:solidFill>
              <a:srgbClr val="6A1B9A"/>
            </a:solidFill>
            <a:ln>
              <a:solidFill>
                <a:srgbClr val="FFFFFF"/>
              </a:solidFill>
              <a:prstDash val="solid"/>
            </a:ln>
          </c:spPr>
          <c:invertIfNegative val="0"/>
          <c:dLbls>
            <c:delete val="1"/>
          </c:dLbls>
          <c:xVal>
            <c:numRef>
              <c:f>'RFM Segments'!$E$7</c:f>
              <c:numCache>
                <c:formatCode>0.00"%"</c:formatCode>
                <c:ptCount val="1"/>
                <c:pt idx="0">
                  <c:v>0.62</c:v>
                </c:pt>
              </c:numCache>
            </c:numRef>
          </c:xVal>
          <c:yVal>
            <c:numRef>
              <c:f>'RFM Segments'!$F$7</c:f>
              <c:numCache>
                <c:formatCode>0.00"%"</c:formatCode>
                <c:ptCount val="1"/>
                <c:pt idx="0">
                  <c:v>1.1</c:v>
                </c:pt>
              </c:numCache>
            </c:numRef>
          </c:yVal>
          <c:bubbleSize>
            <c:numRef>
              <c:f>'RFM Segments'!$C$7</c:f>
              <c:numCache>
                <c:formatCode>0.00</c:formatCode>
                <c:ptCount val="1"/>
                <c:pt idx="0">
                  <c:v>291.37</c:v>
                </c:pt>
              </c:numCache>
            </c:numRef>
          </c:bubbleSize>
          <c:bubble3D val="0"/>
        </c:ser>
        <c:ser>
          <c:idx val="6"/>
          <c:order val="6"/>
          <c:tx>
            <c:strRef>
              <c:f>'RFM Segments'!$A$8</c:f>
              <c:strCache>
                <c:ptCount val="1"/>
                <c:pt idx="0">
                  <c:v>Loyal Customers</c:v>
                </c:pt>
              </c:strCache>
            </c:strRef>
          </c:tx>
          <c:spPr>
            <a:solidFill>
              <a:srgbClr val="00838F"/>
            </a:solidFill>
            <a:ln>
              <a:solidFill>
                <a:srgbClr val="FFFFFF"/>
              </a:solidFill>
              <a:prstDash val="solid"/>
            </a:ln>
          </c:spPr>
          <c:invertIfNegative val="0"/>
          <c:dLbls>
            <c:delete val="1"/>
          </c:dLbls>
          <c:xVal>
            <c:numRef>
              <c:f>'RFM Segments'!$E$8</c:f>
              <c:numCache>
                <c:formatCode>0.00"%"</c:formatCode>
                <c:ptCount val="1"/>
                <c:pt idx="0">
                  <c:v>0.18</c:v>
                </c:pt>
              </c:numCache>
            </c:numRef>
          </c:xVal>
          <c:yVal>
            <c:numRef>
              <c:f>'RFM Segments'!$F$8</c:f>
              <c:numCache>
                <c:formatCode>0.00"%"</c:formatCode>
                <c:ptCount val="1"/>
                <c:pt idx="0">
                  <c:v>0.09</c:v>
                </c:pt>
              </c:numCache>
            </c:numRef>
          </c:yVal>
          <c:bubbleSize>
            <c:numRef>
              <c:f>'RFM Segments'!$C$8</c:f>
              <c:numCache>
                <c:formatCode>0.00</c:formatCode>
                <c:ptCount val="1"/>
                <c:pt idx="0">
                  <c:v>82.15</c:v>
                </c:pt>
              </c:numCache>
            </c:numRef>
          </c:bubbleSize>
          <c:bubble3D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"/>
        <c:showNegBubbles val="0"/>
        <c:sizeRepresents val="area"/>
        <c:axId val="20"/>
        <c:axId val="10"/>
      </c:bubbleChart>
      <c:valAx>
        <c:axId val="20"/>
        <c:scaling>
          <c:orientation val="minMax"/>
          <c:max val="70"/>
          <c:min val="0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% of Revenue</a:t>
                </a:r>
              </a:p>
            </c:rich>
          </c:tx>
          <c:layout/>
          <c:overlay val="0"/>
        </c:title>
        <c:numFmt formatCode="0&quot;%&quot;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orientation val="minMax"/>
          <c:max val="80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% of Customers</a:t>
                </a:r>
              </a:p>
            </c:rich>
          </c:tx>
          <c:layout/>
          <c:overlay val="0"/>
        </c:title>
        <c:numFmt formatCode="0&quot;%&quot;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8446ad-8125-4ff0-9e41-26117c8674a4}"/>
      </c:ext>
    </c:extLst>
  </c:chart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Impact of Delivery Delay on Review Score (−1.73 stars)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CAF50"/>
              </a:solidFill>
              <a:ln>
                <a:noFill/>
                <a:prstDash val="solid"/>
              </a:ln>
            </c:spPr>
          </c:dPt>
          <c:dPt>
            <c:idx val="1"/>
            <c:invertIfNegative val="0"/>
            <c:bubble3D val="0"/>
            <c:spPr>
              <a:solidFill>
                <a:srgbClr val="F44336"/>
              </a:solidFill>
              <a:ln>
                <a:noFill/>
                <a:prstDash val="solid"/>
              </a:ln>
            </c:spPr>
          </c:dPt>
          <c:dLbls>
            <c:numFmt formatCode="0.00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'Hypothesis Test'!$B$6:$C$6</c:f>
              <c:strCache>
                <c:ptCount val="2"/>
                <c:pt idx="0">
                  <c:v>On-Time / Early</c:v>
                </c:pt>
                <c:pt idx="1">
                  <c:v>Delayed Delivery</c:v>
                </c:pt>
              </c:strCache>
            </c:strRef>
          </c:cat>
          <c:val>
            <c:numRef>
              <c:f>'Hypothesis Test'!$B$8:$C$8</c:f>
              <c:numCache>
                <c:formatCode>0.000</c:formatCode>
                <c:ptCount val="2"/>
                <c:pt idx="0">
                  <c:v>4.29371820468568</c:v>
                </c:pt>
                <c:pt idx="1">
                  <c:v>2.56649350649351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5"/>
          <c:min val="0"/>
        </c:scaling>
        <c:delete val="0"/>
        <c:axPos val="l"/>
        <c:majorGridlines/>
        <c:numFmt formatCode="0.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f9bfeab-91fa-4dac-b5a4-931eabba2efd}"/>
      </c:ext>
    </c:extLst>
  </c:chart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Review Score Mix: On-Time vs Delayed Orders</a:t>
            </a:r>
          </a:p>
        </c:rich>
      </c:tx>
      <c:layout/>
      <c:overlay val="0"/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'Hypothesis Test'!$A$26</c:f>
              <c:strCache>
                <c:ptCount val="1"/>
                <c:pt idx="0">
                  <c:v>1-Star</c:v>
                </c:pt>
              </c:strCache>
            </c:strRef>
          </c:tx>
          <c:spPr>
            <a:solidFill>
              <a:srgbClr val="C62828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'Hypothesis Test'!$B$25:$C$25</c:f>
              <c:strCache>
                <c:ptCount val="2"/>
                <c:pt idx="0">
                  <c:v>On-Time</c:v>
                </c:pt>
                <c:pt idx="1">
                  <c:v>Delayed</c:v>
                </c:pt>
              </c:strCache>
            </c:strRef>
          </c:cat>
          <c:val>
            <c:numRef>
              <c:f>'Hypothesis Test'!$B$26:$C$26</c:f>
              <c:numCache>
                <c:formatCode>#,##0</c:formatCode>
                <c:ptCount val="2"/>
                <c:pt idx="0">
                  <c:v>5851</c:v>
                </c:pt>
                <c:pt idx="1">
                  <c:v>3554</c:v>
                </c:pt>
              </c:numCache>
            </c:numRef>
          </c:val>
        </c:ser>
        <c:ser>
          <c:idx val="1"/>
          <c:order val="1"/>
          <c:tx>
            <c:strRef>
              <c:f>'Hypothesis Test'!$A$27</c:f>
              <c:strCache>
                <c:ptCount val="1"/>
                <c:pt idx="0">
                  <c:v>2-Star</c:v>
                </c:pt>
              </c:strCache>
            </c:strRef>
          </c:tx>
          <c:spPr>
            <a:solidFill>
              <a:srgbClr val="EF6C00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'Hypothesis Test'!$B$25:$C$25</c:f>
              <c:strCache>
                <c:ptCount val="2"/>
                <c:pt idx="0">
                  <c:v>On-Time</c:v>
                </c:pt>
                <c:pt idx="1">
                  <c:v>Delayed</c:v>
                </c:pt>
              </c:strCache>
            </c:strRef>
          </c:cat>
          <c:val>
            <c:numRef>
              <c:f>'Hypothesis Test'!$B$27:$C$27</c:f>
              <c:numCache>
                <c:formatCode>#,##0</c:formatCode>
                <c:ptCount val="2"/>
                <c:pt idx="0">
                  <c:v>2335</c:v>
                </c:pt>
                <c:pt idx="1">
                  <c:v>606</c:v>
                </c:pt>
              </c:numCache>
            </c:numRef>
          </c:val>
        </c:ser>
        <c:ser>
          <c:idx val="2"/>
          <c:order val="2"/>
          <c:tx>
            <c:strRef>
              <c:f>'Hypothesis Test'!$A$28</c:f>
              <c:strCache>
                <c:ptCount val="1"/>
                <c:pt idx="0">
                  <c:v>3-Star</c:v>
                </c:pt>
              </c:strCache>
            </c:strRef>
          </c:tx>
          <c:spPr>
            <a:solidFill>
              <a:srgbClr val="FBC02D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'Hypothesis Test'!$B$25:$C$25</c:f>
              <c:strCache>
                <c:ptCount val="2"/>
                <c:pt idx="0">
                  <c:v>On-Time</c:v>
                </c:pt>
                <c:pt idx="1">
                  <c:v>Delayed</c:v>
                </c:pt>
              </c:strCache>
            </c:strRef>
          </c:cat>
          <c:val>
            <c:numRef>
              <c:f>'Hypothesis Test'!$B$28:$C$28</c:f>
              <c:numCache>
                <c:formatCode>#,##0</c:formatCode>
                <c:ptCount val="2"/>
                <c:pt idx="0">
                  <c:v>7086</c:v>
                </c:pt>
                <c:pt idx="1">
                  <c:v>875</c:v>
                </c:pt>
              </c:numCache>
            </c:numRef>
          </c:val>
        </c:ser>
        <c:ser>
          <c:idx val="3"/>
          <c:order val="3"/>
          <c:tx>
            <c:strRef>
              <c:f>'Hypothesis Test'!$A$29</c:f>
              <c:strCache>
                <c:ptCount val="1"/>
                <c:pt idx="0">
                  <c:v>4-Star</c:v>
                </c:pt>
              </c:strCache>
            </c:strRef>
          </c:tx>
          <c:spPr>
            <a:solidFill>
              <a:srgbClr val="9CCC65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'Hypothesis Test'!$B$25:$C$25</c:f>
              <c:strCache>
                <c:ptCount val="2"/>
                <c:pt idx="0">
                  <c:v>On-Time</c:v>
                </c:pt>
                <c:pt idx="1">
                  <c:v>Delayed</c:v>
                </c:pt>
              </c:strCache>
            </c:strRef>
          </c:cat>
          <c:val>
            <c:numRef>
              <c:f>'Hypothesis Test'!$B$29:$C$29</c:f>
              <c:numCache>
                <c:formatCode>#,##0</c:formatCode>
                <c:ptCount val="2"/>
                <c:pt idx="0">
                  <c:v>18033</c:v>
                </c:pt>
                <c:pt idx="1">
                  <c:v>954</c:v>
                </c:pt>
              </c:numCache>
            </c:numRef>
          </c:val>
        </c:ser>
        <c:ser>
          <c:idx val="4"/>
          <c:order val="4"/>
          <c:tx>
            <c:strRef>
              <c:f>'Hypothesis Test'!$A$30</c:f>
              <c:strCache>
                <c:ptCount val="1"/>
                <c:pt idx="0">
                  <c:v>5-Star</c:v>
                </c:pt>
              </c:strCache>
            </c:strRef>
          </c:tx>
          <c:spPr>
            <a:solidFill>
              <a:srgbClr val="2E7D32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'Hypothesis Test'!$B$25:$C$25</c:f>
              <c:strCache>
                <c:ptCount val="2"/>
                <c:pt idx="0">
                  <c:v>On-Time</c:v>
                </c:pt>
                <c:pt idx="1">
                  <c:v>Delayed</c:v>
                </c:pt>
              </c:strCache>
            </c:strRef>
          </c:cat>
          <c:val>
            <c:numRef>
              <c:f>'Hypothesis Test'!$B$30:$C$30</c:f>
              <c:numCache>
                <c:formatCode>#,##0</c:formatCode>
                <c:ptCount val="2"/>
                <c:pt idx="0">
                  <c:v>55348</c:v>
                </c:pt>
                <c:pt idx="1">
                  <c:v>1711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t"/>
        <c:majorGridlines/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dda777-e8f9-4e14-90ec-d52499cdb046}"/>
      </c:ext>
    </c:extLst>
  </c:chart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Top 5 States by Delivery Delay Rate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'Logistics Heatmap'!$F$1</c:f>
              <c:strCache>
                <c:ptCount val="1"/>
                <c:pt idx="0">
                  <c:v>Delay Rate %</c:v>
                </c:pt>
              </c:strCache>
            </c:strRef>
          </c:tx>
          <c:spPr>
            <a:solidFill>
              <a:srgbClr val="E53935"/>
            </a:solidFill>
            <a:ln>
              <a:noFill/>
              <a:prstDash val="solid"/>
            </a:ln>
          </c:spPr>
          <c:invertIfNegative val="0"/>
          <c:dLbls>
            <c:numFmt formatCode="0.00&quot;%&quot;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'Logistics Heatmap'!$A$2:$A$6</c:f>
              <c:strCache>
                <c:ptCount val="5"/>
                <c:pt idx="0">
                  <c:v>AL</c:v>
                </c:pt>
                <c:pt idx="1">
                  <c:v>MA</c:v>
                </c:pt>
                <c:pt idx="2">
                  <c:v>PI</c:v>
                </c:pt>
                <c:pt idx="3">
                  <c:v>CE</c:v>
                </c:pt>
                <c:pt idx="4">
                  <c:v>SE</c:v>
                </c:pt>
              </c:strCache>
            </c:strRef>
          </c:cat>
          <c:val>
            <c:numRef>
              <c:f>'Logistics Heatmap'!$F$2:$F$6</c:f>
              <c:numCache>
                <c:formatCode>0.00"%"</c:formatCode>
                <c:ptCount val="5"/>
                <c:pt idx="0">
                  <c:v>23.93</c:v>
                </c:pt>
                <c:pt idx="1">
                  <c:v>19.67</c:v>
                </c:pt>
                <c:pt idx="2">
                  <c:v>15.97</c:v>
                </c:pt>
                <c:pt idx="3">
                  <c:v>15.32</c:v>
                </c:pt>
                <c:pt idx="4">
                  <c:v>15.22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t"/>
        <c:numFmt formatCode="0.00&quot;%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2ccc094-8fc6-49b3-9a54-96d38cd238bc}"/>
      </c:ext>
    </c:extLst>
  </c:chart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83820</xdr:colOff>
      <xdr:row>26</xdr:row>
      <xdr:rowOff>38100</xdr:rowOff>
    </xdr:from>
    <xdr:ext cx="6480000" cy="2765700"/>
    <xdr:graphicFrame>
      <xdr:nvGraphicFramePr>
        <xdr:cNvPr id="3" name="Chart 2"/>
        <xdr:cNvGraphicFramePr/>
      </xdr:nvGraphicFramePr>
      <xdr:xfrm>
        <a:off x="83820" y="5946140"/>
        <a:ext cx="6479540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670560</xdr:colOff>
      <xdr:row>10</xdr:row>
      <xdr:rowOff>76200</xdr:rowOff>
    </xdr:from>
    <xdr:ext cx="4140000" cy="2765700"/>
    <xdr:graphicFrame>
      <xdr:nvGraphicFramePr>
        <xdr:cNvPr id="4" name="Chart 3"/>
        <xdr:cNvGraphicFramePr/>
      </xdr:nvGraphicFramePr>
      <xdr:xfrm>
        <a:off x="5814060" y="2928620"/>
        <a:ext cx="413956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0</xdr:row>
      <xdr:rowOff>0</xdr:rowOff>
    </xdr:from>
    <xdr:ext cx="7920000" cy="3883800"/>
    <xdr:graphicFrame>
      <xdr:nvGraphicFramePr>
        <xdr:cNvPr id="2" name="Chart 1"/>
        <xdr:cNvGraphicFramePr/>
      </xdr:nvGraphicFramePr>
      <xdr:xfrm>
        <a:off x="7886700" y="0"/>
        <a:ext cx="7919720" cy="3883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4</xdr:row>
      <xdr:rowOff>0</xdr:rowOff>
    </xdr:from>
    <xdr:ext cx="5040000" cy="2979060"/>
    <xdr:graphicFrame>
      <xdr:nvGraphicFramePr>
        <xdr:cNvPr id="2" name="Chart 1"/>
        <xdr:cNvGraphicFramePr/>
      </xdr:nvGraphicFramePr>
      <xdr:xfrm>
        <a:off x="6652260" y="1097280"/>
        <a:ext cx="5039995" cy="2978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21</xdr:row>
      <xdr:rowOff>0</xdr:rowOff>
    </xdr:from>
    <xdr:ext cx="5040000" cy="2880000"/>
    <xdr:graphicFrame>
      <xdr:nvGraphicFramePr>
        <xdr:cNvPr id="3" name="Chart 2"/>
        <xdr:cNvGraphicFramePr/>
      </xdr:nvGraphicFramePr>
      <xdr:xfrm>
        <a:off x="6652260" y="4800600"/>
        <a:ext cx="503999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0</xdr:row>
      <xdr:rowOff>0</xdr:rowOff>
    </xdr:from>
    <xdr:ext cx="5400000" cy="2700000"/>
    <xdr:graphicFrame>
      <xdr:nvGraphicFramePr>
        <xdr:cNvPr id="2" name="Chart 1"/>
        <xdr:cNvGraphicFramePr/>
      </xdr:nvGraphicFramePr>
      <xdr:xfrm>
        <a:off x="7063740" y="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E3A5F"/>
    <pageSetUpPr fitToPage="1"/>
  </sheetPr>
  <dimension ref="B1:L35"/>
  <sheetViews>
    <sheetView showGridLines="0" tabSelected="1" topLeftCell="B11" workbookViewId="0">
      <selection activeCell="B3" sqref="B3:C3"/>
    </sheetView>
  </sheetViews>
  <sheetFormatPr defaultColWidth="9" defaultRowHeight="14.4"/>
  <cols>
    <col min="1" max="1" width="2" customWidth="1"/>
    <col min="2" max="2" width="22" customWidth="1"/>
    <col min="3" max="7" width="17" customWidth="1"/>
    <col min="8" max="8" width="3" customWidth="1"/>
    <col min="9" max="12" width="16" customWidth="1"/>
  </cols>
  <sheetData>
    <row r="1" ht="28" customHeight="1" spans="2:2">
      <c r="B1" s="31" t="s">
        <v>0</v>
      </c>
    </row>
    <row r="2" ht="15" spans="2:2">
      <c r="B2" s="32" t="s">
        <v>1</v>
      </c>
    </row>
    <row r="3" ht="44" customHeight="1" spans="2:7">
      <c r="B3" s="33">
        <v>15422461</v>
      </c>
      <c r="C3" s="34"/>
      <c r="D3" s="35">
        <v>96478</v>
      </c>
      <c r="E3" s="34"/>
      <c r="F3" s="36">
        <v>137.75</v>
      </c>
      <c r="G3" s="34"/>
    </row>
    <row r="4" ht="20" customHeight="1" spans="2:7">
      <c r="B4" s="37" t="s">
        <v>2</v>
      </c>
      <c r="C4" s="38"/>
      <c r="D4" s="37" t="s">
        <v>3</v>
      </c>
      <c r="E4" s="38"/>
      <c r="F4" s="37" t="s">
        <v>4</v>
      </c>
      <c r="G4" s="38"/>
    </row>
    <row r="5" ht="10" customHeight="1"/>
    <row r="6" ht="10" customHeight="1"/>
    <row r="7" ht="44" customHeight="1" spans="2:7">
      <c r="B7" s="35">
        <v>3095</v>
      </c>
      <c r="C7" s="34"/>
      <c r="D7" s="39">
        <v>4.09</v>
      </c>
      <c r="E7" s="34"/>
      <c r="F7" s="40">
        <v>0.03</v>
      </c>
      <c r="G7" s="34"/>
    </row>
    <row r="8" ht="20" customHeight="1" spans="2:7">
      <c r="B8" s="37" t="s">
        <v>5</v>
      </c>
      <c r="C8" s="38"/>
      <c r="D8" s="37" t="s">
        <v>6</v>
      </c>
      <c r="E8" s="38"/>
      <c r="F8" s="37" t="s">
        <v>7</v>
      </c>
      <c r="G8" s="38"/>
    </row>
    <row r="10" ht="19.2" spans="2:2">
      <c r="B10" s="10"/>
    </row>
    <row r="11" ht="19.2" spans="2:2">
      <c r="B11" s="10" t="s">
        <v>8</v>
      </c>
    </row>
    <row r="12" ht="16.8" spans="2:5">
      <c r="B12" s="1" t="s">
        <v>9</v>
      </c>
      <c r="C12" s="1" t="s">
        <v>10</v>
      </c>
      <c r="D12" s="1" t="s">
        <v>11</v>
      </c>
      <c r="E12" s="1" t="s">
        <v>12</v>
      </c>
    </row>
    <row r="13" ht="15" spans="2:5">
      <c r="B13" s="20" t="s">
        <v>13</v>
      </c>
      <c r="C13" s="3">
        <v>1721482</v>
      </c>
      <c r="D13" s="3">
        <v>9728</v>
      </c>
      <c r="E13" s="3">
        <v>177</v>
      </c>
    </row>
    <row r="14" ht="15" spans="2:5">
      <c r="B14" s="28" t="s">
        <v>14</v>
      </c>
      <c r="C14" s="26">
        <v>1261213</v>
      </c>
      <c r="D14" s="26">
        <v>8836</v>
      </c>
      <c r="E14" s="26">
        <v>143</v>
      </c>
    </row>
    <row r="15" ht="15" spans="2:5">
      <c r="B15" s="20" t="s">
        <v>15</v>
      </c>
      <c r="C15" s="3">
        <v>1022476</v>
      </c>
      <c r="D15" s="3">
        <v>7315</v>
      </c>
      <c r="E15" s="3">
        <v>140</v>
      </c>
    </row>
    <row r="16" ht="15" spans="2:5">
      <c r="B16" s="28" t="s">
        <v>16</v>
      </c>
      <c r="C16" s="26">
        <v>933547</v>
      </c>
      <c r="D16" s="26">
        <v>5911</v>
      </c>
      <c r="E16" s="26">
        <v>158</v>
      </c>
    </row>
    <row r="17" ht="15" spans="2:5">
      <c r="B17" s="20" t="s">
        <v>17</v>
      </c>
      <c r="C17" s="3">
        <v>721301</v>
      </c>
      <c r="D17" s="3">
        <v>6219</v>
      </c>
      <c r="E17" s="3">
        <v>116</v>
      </c>
    </row>
    <row r="30" ht="19.2" spans="9:9">
      <c r="I30" s="10" t="s">
        <v>18</v>
      </c>
    </row>
    <row r="31" ht="30" customHeight="1" spans="9:10">
      <c r="I31" s="1" t="s">
        <v>19</v>
      </c>
      <c r="J31" s="1" t="s">
        <v>20</v>
      </c>
    </row>
    <row r="32" ht="15" spans="9:10">
      <c r="I32" s="24" t="s">
        <v>21</v>
      </c>
      <c r="J32" s="41">
        <v>0.7392</v>
      </c>
    </row>
    <row r="33" ht="15" spans="9:10">
      <c r="I33" s="25" t="s">
        <v>22</v>
      </c>
      <c r="J33" s="42">
        <v>0.1904</v>
      </c>
    </row>
    <row r="34" ht="15" spans="9:10">
      <c r="I34" s="24" t="s">
        <v>23</v>
      </c>
      <c r="J34" s="41">
        <v>0.0547</v>
      </c>
    </row>
    <row r="35" ht="15" spans="9:10">
      <c r="I35" s="25" t="s">
        <v>24</v>
      </c>
      <c r="J35" s="42">
        <v>0.0157</v>
      </c>
    </row>
  </sheetData>
  <mergeCells count="14">
    <mergeCell ref="B1:L1"/>
    <mergeCell ref="B2:L2"/>
    <mergeCell ref="B3:C3"/>
    <mergeCell ref="D3:E3"/>
    <mergeCell ref="F3:G3"/>
    <mergeCell ref="B4:C4"/>
    <mergeCell ref="D4:E4"/>
    <mergeCell ref="F4:G4"/>
    <mergeCell ref="B7:C7"/>
    <mergeCell ref="D7:E7"/>
    <mergeCell ref="F7:G7"/>
    <mergeCell ref="B8:C8"/>
    <mergeCell ref="D8:E8"/>
    <mergeCell ref="F8:G8"/>
  </mergeCells>
  <pageMargins left="0.75" right="0.75" top="1" bottom="1" header="0.5" footer="0.5"/>
  <pageSetup paperSize="1" fitToHeight="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565C0"/>
    <pageSetUpPr fitToPage="1"/>
  </sheetPr>
  <dimension ref="A1:F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28" customWidth="1"/>
    <col min="2" max="2" width="14" customWidth="1"/>
    <col min="3" max="3" width="16" customWidth="1"/>
    <col min="4" max="4" width="20" customWidth="1"/>
    <col min="5" max="6" width="14" customWidth="1"/>
  </cols>
  <sheetData>
    <row r="1" ht="30" customHeight="1" spans="1:6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ht="15" spans="1:6">
      <c r="A2" s="20" t="s">
        <v>31</v>
      </c>
      <c r="B2" s="3">
        <v>62114</v>
      </c>
      <c r="C2" s="27">
        <v>135.65</v>
      </c>
      <c r="D2" s="3">
        <v>8425603</v>
      </c>
      <c r="E2" s="5">
        <v>66.53</v>
      </c>
      <c r="F2" s="5">
        <v>54.63</v>
      </c>
    </row>
    <row r="3" ht="15" spans="1:6">
      <c r="A3" s="28" t="s">
        <v>32</v>
      </c>
      <c r="B3" s="26">
        <v>22475</v>
      </c>
      <c r="C3" s="29">
        <v>261.26</v>
      </c>
      <c r="D3" s="26">
        <v>5871819</v>
      </c>
      <c r="E3" s="30">
        <v>24.07</v>
      </c>
      <c r="F3" s="30">
        <v>38.07</v>
      </c>
    </row>
    <row r="4" ht="15" spans="1:6">
      <c r="A4" s="20" t="s">
        <v>33</v>
      </c>
      <c r="B4" s="3">
        <v>1373</v>
      </c>
      <c r="C4" s="27">
        <v>343.67</v>
      </c>
      <c r="D4" s="3">
        <v>471860</v>
      </c>
      <c r="E4" s="5">
        <v>1.47</v>
      </c>
      <c r="F4" s="5">
        <v>3.06</v>
      </c>
    </row>
    <row r="5" ht="15" spans="1:6">
      <c r="A5" s="28" t="s">
        <v>34</v>
      </c>
      <c r="B5" s="26">
        <v>5967</v>
      </c>
      <c r="C5" s="29">
        <v>43.69</v>
      </c>
      <c r="D5" s="26">
        <v>260682</v>
      </c>
      <c r="E5" s="30">
        <v>6.39</v>
      </c>
      <c r="F5" s="30">
        <v>1.69</v>
      </c>
    </row>
    <row r="6" ht="15" spans="1:6">
      <c r="A6" s="20" t="s">
        <v>35</v>
      </c>
      <c r="B6" s="3">
        <v>676</v>
      </c>
      <c r="C6" s="27">
        <v>309.1</v>
      </c>
      <c r="D6" s="3">
        <v>208954</v>
      </c>
      <c r="E6" s="5">
        <v>0.72</v>
      </c>
      <c r="F6" s="5">
        <v>1.35</v>
      </c>
    </row>
    <row r="7" ht="15" spans="1:6">
      <c r="A7" s="28" t="s">
        <v>36</v>
      </c>
      <c r="B7" s="26">
        <v>582</v>
      </c>
      <c r="C7" s="29">
        <v>291.37</v>
      </c>
      <c r="D7" s="26">
        <v>169578</v>
      </c>
      <c r="E7" s="30">
        <v>0.62</v>
      </c>
      <c r="F7" s="30">
        <v>1.1</v>
      </c>
    </row>
    <row r="8" ht="15" spans="1:6">
      <c r="A8" s="20" t="s">
        <v>37</v>
      </c>
      <c r="B8" s="3">
        <v>170</v>
      </c>
      <c r="C8" s="27">
        <v>82.15</v>
      </c>
      <c r="D8" s="3">
        <v>13965</v>
      </c>
      <c r="E8" s="5">
        <v>0.18</v>
      </c>
      <c r="F8" s="5">
        <v>0.09</v>
      </c>
    </row>
    <row r="10" ht="22" customHeight="1" spans="1:6">
      <c r="A10" s="6" t="s">
        <v>38</v>
      </c>
      <c r="B10" s="7"/>
      <c r="C10" s="7"/>
      <c r="D10" s="7"/>
      <c r="E10" s="7"/>
      <c r="F10" s="7"/>
    </row>
    <row r="11" spans="1:6">
      <c r="A11" s="7"/>
      <c r="B11" s="7"/>
      <c r="C11" s="7"/>
      <c r="D11" s="7"/>
      <c r="E11" s="7"/>
      <c r="F11" s="7"/>
    </row>
    <row r="12" spans="1:6">
      <c r="A12" s="7"/>
      <c r="B12" s="7"/>
      <c r="C12" s="7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</sheetData>
  <mergeCells count="1">
    <mergeCell ref="A10:F15"/>
  </mergeCells>
  <conditionalFormatting sqref="D2:D8">
    <cfRule type="dataBar" priority="1">
      <dataBar>
        <cfvo type="min"/>
        <cfvo type="max"/>
        <color rgb="FF1565C0"/>
      </dataBar>
      <extLst>
        <ext xmlns:x14="http://schemas.microsoft.com/office/spreadsheetml/2009/9/main" uri="{B025F937-C7B1-47D3-B67F-A62EFF666E3E}">
          <x14:id>{c3b3c773-5a83-4100-a48d-8a088c26a81b}</x14:id>
        </ext>
      </extLst>
    </cfRule>
  </conditionalFormatting>
  <pageMargins left="0.75" right="0.75" top="1" bottom="1" header="0.5" footer="0.5"/>
  <pageSetup paperSize="1" fitToHeight="0" orientation="landscape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b3c773-5a83-4100-a48d-8a088c26a81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D2:D8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D32"/>
    <pageSetUpPr fitToPage="1"/>
  </sheetPr>
  <dimension ref="A1:D30"/>
  <sheetViews>
    <sheetView showGridLines="0" workbookViewId="0">
      <selection activeCell="D6" sqref="D6"/>
    </sheetView>
  </sheetViews>
  <sheetFormatPr defaultColWidth="9" defaultRowHeight="14.4" outlineLevelCol="3"/>
  <cols>
    <col min="1" max="1" width="28" customWidth="1"/>
    <col min="2" max="3" width="20" customWidth="1"/>
    <col min="4" max="4" width="26" customWidth="1"/>
    <col min="5" max="5" width="3" customWidth="1"/>
  </cols>
  <sheetData>
    <row r="1" ht="24" customHeight="1" spans="1:4">
      <c r="A1" s="8" t="s">
        <v>39</v>
      </c>
      <c r="B1" s="9"/>
      <c r="C1" s="9"/>
      <c r="D1" s="9"/>
    </row>
    <row r="2" ht="24" customHeight="1" spans="1:4">
      <c r="A2" s="9"/>
      <c r="B2" s="9"/>
      <c r="C2" s="9"/>
      <c r="D2" s="9"/>
    </row>
    <row r="3" ht="24" customHeight="1" spans="1:4">
      <c r="A3" s="9"/>
      <c r="B3" s="9"/>
      <c r="C3" s="9"/>
      <c r="D3" s="9"/>
    </row>
    <row r="5" ht="19.2" spans="1:1">
      <c r="A5" s="10" t="s">
        <v>40</v>
      </c>
    </row>
    <row r="6" ht="30" customHeight="1" spans="1:3">
      <c r="A6" s="1" t="s">
        <v>41</v>
      </c>
      <c r="B6" s="1" t="s">
        <v>42</v>
      </c>
      <c r="C6" s="1" t="s">
        <v>43</v>
      </c>
    </row>
    <row r="7" ht="15" spans="1:3">
      <c r="A7" s="11" t="s">
        <v>44</v>
      </c>
      <c r="B7" s="12">
        <f>SUM(B26:B30)</f>
        <v>88653</v>
      </c>
      <c r="C7" s="13">
        <f>SUM(C26:C30)</f>
        <v>7700</v>
      </c>
    </row>
    <row r="8" ht="15" spans="1:3">
      <c r="A8" s="11" t="s">
        <v>45</v>
      </c>
      <c r="B8" s="14">
        <f>(1*B26+2*B27+3*B28+4*B29+5*B30)/B7</f>
        <v>4.29371820468568</v>
      </c>
      <c r="C8" s="15">
        <f>(1*C26+2*C27+3*C28+4*C29+5*C30)/C7</f>
        <v>2.56649350649351</v>
      </c>
    </row>
    <row r="9" ht="15" spans="1:3">
      <c r="A9" s="11" t="s">
        <v>46</v>
      </c>
      <c r="B9" s="16">
        <v>5</v>
      </c>
      <c r="C9" s="17">
        <v>2</v>
      </c>
    </row>
    <row r="10" ht="15" spans="1:3">
      <c r="A10" s="11" t="s">
        <v>47</v>
      </c>
      <c r="B10" s="14">
        <v>1.148</v>
      </c>
      <c r="C10" s="15">
        <v>1.658</v>
      </c>
    </row>
    <row r="11" ht="15" spans="1:3">
      <c r="A11" s="11" t="s">
        <v>48</v>
      </c>
      <c r="B11" s="18">
        <f>B26/B7</f>
        <v>0.0659988945664557</v>
      </c>
      <c r="C11" s="19">
        <f>C26/C7</f>
        <v>0.461558441558442</v>
      </c>
    </row>
    <row r="12" ht="15" spans="1:3">
      <c r="A12" s="11" t="s">
        <v>49</v>
      </c>
      <c r="B12" s="18">
        <f>B30/B7</f>
        <v>0.624321793960723</v>
      </c>
      <c r="C12" s="19">
        <f>C30/C7</f>
        <v>0.222207792207792</v>
      </c>
    </row>
    <row r="14" ht="19.2" spans="1:1">
      <c r="A14" s="10" t="s">
        <v>50</v>
      </c>
    </row>
    <row r="15" ht="30" customHeight="1" spans="1:4">
      <c r="A15" s="1" t="s">
        <v>51</v>
      </c>
      <c r="B15" s="1" t="s">
        <v>52</v>
      </c>
      <c r="C15" s="1" t="s">
        <v>53</v>
      </c>
      <c r="D15" s="1" t="s">
        <v>54</v>
      </c>
    </row>
    <row r="16" ht="15" spans="1:4">
      <c r="A16" s="20" t="s">
        <v>55</v>
      </c>
      <c r="B16" s="2" t="s">
        <v>56</v>
      </c>
      <c r="C16" s="2" t="s">
        <v>57</v>
      </c>
      <c r="D16" s="21" t="s">
        <v>58</v>
      </c>
    </row>
    <row r="17" ht="15" spans="1:4">
      <c r="A17" s="20" t="s">
        <v>59</v>
      </c>
      <c r="B17" s="2" t="s">
        <v>60</v>
      </c>
      <c r="C17" s="2" t="s">
        <v>57</v>
      </c>
      <c r="D17" s="21" t="s">
        <v>58</v>
      </c>
    </row>
    <row r="18" ht="15" spans="1:4">
      <c r="A18" s="20" t="s">
        <v>61</v>
      </c>
      <c r="B18" s="2" t="s">
        <v>62</v>
      </c>
      <c r="C18" s="2" t="s">
        <v>57</v>
      </c>
      <c r="D18" s="21" t="s">
        <v>58</v>
      </c>
    </row>
    <row r="19" ht="15" spans="1:4">
      <c r="A19" s="20" t="s">
        <v>63</v>
      </c>
      <c r="B19" s="2" t="s">
        <v>64</v>
      </c>
      <c r="C19" s="2" t="s">
        <v>65</v>
      </c>
      <c r="D19" s="22" t="s">
        <v>66</v>
      </c>
    </row>
    <row r="20" spans="1:1">
      <c r="A20" s="23" t="s">
        <v>67</v>
      </c>
    </row>
    <row r="23" ht="19.2" spans="1:1">
      <c r="A23" s="10" t="s">
        <v>68</v>
      </c>
    </row>
    <row r="25" ht="30" customHeight="1" spans="1:3">
      <c r="A25" s="1" t="s">
        <v>69</v>
      </c>
      <c r="B25" s="1" t="s">
        <v>70</v>
      </c>
      <c r="C25" s="1" t="s">
        <v>71</v>
      </c>
    </row>
    <row r="26" ht="15" spans="1:3">
      <c r="A26" s="24" t="s">
        <v>72</v>
      </c>
      <c r="B26" s="3">
        <v>5851</v>
      </c>
      <c r="C26" s="3">
        <v>3554</v>
      </c>
    </row>
    <row r="27" ht="15" spans="1:3">
      <c r="A27" s="25" t="s">
        <v>73</v>
      </c>
      <c r="B27" s="26">
        <v>2335</v>
      </c>
      <c r="C27" s="26">
        <v>606</v>
      </c>
    </row>
    <row r="28" ht="15" spans="1:3">
      <c r="A28" s="24" t="s">
        <v>74</v>
      </c>
      <c r="B28" s="3">
        <v>7086</v>
      </c>
      <c r="C28" s="3">
        <v>875</v>
      </c>
    </row>
    <row r="29" ht="15" spans="1:3">
      <c r="A29" s="25" t="s">
        <v>75</v>
      </c>
      <c r="B29" s="26">
        <v>18033</v>
      </c>
      <c r="C29" s="26">
        <v>954</v>
      </c>
    </row>
    <row r="30" ht="15" spans="1:3">
      <c r="A30" s="24" t="s">
        <v>76</v>
      </c>
      <c r="B30" s="3">
        <v>55348</v>
      </c>
      <c r="C30" s="3">
        <v>1711</v>
      </c>
    </row>
  </sheetData>
  <mergeCells count="2">
    <mergeCell ref="A20:D21"/>
    <mergeCell ref="A1:D3"/>
  </mergeCells>
  <pageMargins left="0.75" right="0.75" top="1" bottom="1" header="0.5" footer="0.5"/>
  <pageSetup paperSize="1" fitToHeight="0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F6C00"/>
    <pageSetUpPr fitToPage="1"/>
  </sheetPr>
  <dimension ref="A1:P2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2" customWidth="1"/>
    <col min="2" max="2" width="16" customWidth="1"/>
    <col min="3" max="4" width="18" customWidth="1"/>
    <col min="5" max="5" width="16" customWidth="1"/>
    <col min="6" max="6" width="14" customWidth="1"/>
  </cols>
  <sheetData>
    <row r="1" ht="30" customHeight="1" spans="1:6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</row>
    <row r="2" ht="15" spans="1:6">
      <c r="A2" s="2" t="s">
        <v>83</v>
      </c>
      <c r="B2" s="3">
        <v>397</v>
      </c>
      <c r="C2" s="4">
        <v>24.5</v>
      </c>
      <c r="D2" s="4">
        <v>33.2</v>
      </c>
      <c r="E2" s="3">
        <v>95</v>
      </c>
      <c r="F2" s="5">
        <v>23.93</v>
      </c>
    </row>
    <row r="3" ht="15" spans="1:6">
      <c r="A3" s="2" t="s">
        <v>84</v>
      </c>
      <c r="B3" s="3">
        <v>717</v>
      </c>
      <c r="C3" s="4">
        <v>21.5</v>
      </c>
      <c r="D3" s="4">
        <v>31.1</v>
      </c>
      <c r="E3" s="3">
        <v>141</v>
      </c>
      <c r="F3" s="5">
        <v>19.67</v>
      </c>
    </row>
    <row r="4" ht="15" spans="1:6">
      <c r="A4" s="2" t="s">
        <v>85</v>
      </c>
      <c r="B4" s="3">
        <v>476</v>
      </c>
      <c r="C4" s="4">
        <v>19.4</v>
      </c>
      <c r="D4" s="4">
        <v>30.7</v>
      </c>
      <c r="E4" s="3">
        <v>76</v>
      </c>
      <c r="F4" s="5">
        <v>15.97</v>
      </c>
    </row>
    <row r="5" ht="15" spans="1:6">
      <c r="A5" s="2" t="s">
        <v>86</v>
      </c>
      <c r="B5" s="3">
        <v>1279</v>
      </c>
      <c r="C5" s="4">
        <v>21.2</v>
      </c>
      <c r="D5" s="4">
        <v>32</v>
      </c>
      <c r="E5" s="3">
        <v>196</v>
      </c>
      <c r="F5" s="5">
        <v>15.32</v>
      </c>
    </row>
    <row r="6" ht="15" spans="1:6">
      <c r="A6" s="2" t="s">
        <v>87</v>
      </c>
      <c r="B6" s="3">
        <v>335</v>
      </c>
      <c r="C6" s="4">
        <v>21.5</v>
      </c>
      <c r="D6" s="4">
        <v>31.5</v>
      </c>
      <c r="E6" s="3">
        <v>51</v>
      </c>
      <c r="F6" s="5">
        <v>15.22</v>
      </c>
    </row>
    <row r="7" ht="15" spans="1:6">
      <c r="A7" s="2" t="s">
        <v>88</v>
      </c>
      <c r="B7" s="3">
        <v>3256</v>
      </c>
      <c r="C7" s="4">
        <v>19.3</v>
      </c>
      <c r="D7" s="4">
        <v>30.1</v>
      </c>
      <c r="E7" s="3">
        <v>457</v>
      </c>
      <c r="F7" s="5">
        <v>14.04</v>
      </c>
    </row>
    <row r="8" ht="15" spans="1:6">
      <c r="A8" s="2" t="s">
        <v>89</v>
      </c>
      <c r="B8" s="3">
        <v>12350</v>
      </c>
      <c r="C8" s="4">
        <v>15.2</v>
      </c>
      <c r="D8" s="4">
        <v>27</v>
      </c>
      <c r="E8" s="3">
        <v>1664</v>
      </c>
      <c r="F8" s="5">
        <v>13.47</v>
      </c>
    </row>
    <row r="9" ht="15" spans="1:6">
      <c r="A9" s="2" t="s">
        <v>90</v>
      </c>
      <c r="B9" s="3">
        <v>274</v>
      </c>
      <c r="C9" s="4">
        <v>17.6</v>
      </c>
      <c r="D9" s="4">
        <v>29.7</v>
      </c>
      <c r="E9" s="3">
        <v>35</v>
      </c>
      <c r="F9" s="5">
        <v>12.77</v>
      </c>
    </row>
    <row r="10" ht="15" spans="1:6">
      <c r="A10" s="2" t="s">
        <v>91</v>
      </c>
      <c r="B10" s="3">
        <v>946</v>
      </c>
      <c r="C10" s="4">
        <v>23.7</v>
      </c>
      <c r="D10" s="4">
        <v>37.8</v>
      </c>
      <c r="E10" s="3">
        <v>117</v>
      </c>
      <c r="F10" s="5">
        <v>12.37</v>
      </c>
    </row>
    <row r="11" ht="15" spans="1:6">
      <c r="A11" s="2" t="s">
        <v>92</v>
      </c>
      <c r="B11" s="3">
        <v>1995</v>
      </c>
      <c r="C11" s="4">
        <v>15.7</v>
      </c>
      <c r="D11" s="4">
        <v>26.2</v>
      </c>
      <c r="E11" s="3">
        <v>244</v>
      </c>
      <c r="F11" s="5">
        <v>12.23</v>
      </c>
    </row>
    <row r="12" ht="15" spans="1:6">
      <c r="A12" s="2" t="s">
        <v>93</v>
      </c>
      <c r="B12" s="3">
        <v>41</v>
      </c>
      <c r="C12" s="4">
        <v>29.3</v>
      </c>
      <c r="D12" s="4">
        <v>46.6</v>
      </c>
      <c r="E12" s="3">
        <v>5</v>
      </c>
      <c r="F12" s="5">
        <v>12.2</v>
      </c>
    </row>
    <row r="13" ht="15" spans="1:6">
      <c r="A13" s="2" t="s">
        <v>94</v>
      </c>
      <c r="B13" s="3">
        <v>701</v>
      </c>
      <c r="C13" s="4">
        <v>15.5</v>
      </c>
      <c r="D13" s="4">
        <v>26.6</v>
      </c>
      <c r="E13" s="3">
        <v>81</v>
      </c>
      <c r="F13" s="5">
        <v>11.55</v>
      </c>
    </row>
    <row r="14" ht="15" spans="1:6">
      <c r="A14" s="2" t="s">
        <v>95</v>
      </c>
      <c r="B14" s="3">
        <v>517</v>
      </c>
      <c r="C14" s="4">
        <v>20.4</v>
      </c>
      <c r="D14" s="4">
        <v>33.6</v>
      </c>
      <c r="E14" s="3">
        <v>57</v>
      </c>
      <c r="F14" s="5">
        <v>11.03</v>
      </c>
    </row>
    <row r="15" ht="15" spans="1:6">
      <c r="A15" s="2" t="s">
        <v>96</v>
      </c>
      <c r="B15" s="3">
        <v>1593</v>
      </c>
      <c r="C15" s="4">
        <v>18.4</v>
      </c>
      <c r="D15" s="4">
        <v>31.7</v>
      </c>
      <c r="E15" s="3">
        <v>172</v>
      </c>
      <c r="F15" s="5">
        <v>10.8</v>
      </c>
    </row>
    <row r="16" ht="15" spans="1:6">
      <c r="A16" s="2" t="s">
        <v>97</v>
      </c>
      <c r="B16" s="3">
        <v>474</v>
      </c>
      <c r="C16" s="4">
        <v>19.2</v>
      </c>
      <c r="D16" s="4">
        <v>32.9</v>
      </c>
      <c r="E16" s="3">
        <v>51</v>
      </c>
      <c r="F16" s="5">
        <v>10.76</v>
      </c>
    </row>
    <row r="17" ht="15" spans="1:16">
      <c r="A17" s="2" t="s">
        <v>98</v>
      </c>
      <c r="B17" s="3">
        <v>3546</v>
      </c>
      <c r="C17" s="4">
        <v>14.9</v>
      </c>
      <c r="D17" s="4">
        <v>26.4</v>
      </c>
      <c r="E17" s="3">
        <v>346</v>
      </c>
      <c r="F17" s="5">
        <v>9.76</v>
      </c>
      <c r="H17" s="6" t="s">
        <v>99</v>
      </c>
      <c r="I17" s="7"/>
      <c r="J17" s="7"/>
      <c r="K17" s="7"/>
      <c r="L17" s="7"/>
      <c r="M17" s="7"/>
      <c r="N17" s="7"/>
      <c r="O17" s="7"/>
      <c r="P17" s="7"/>
    </row>
    <row r="18" ht="15" spans="1:16">
      <c r="A18" s="2" t="s">
        <v>100</v>
      </c>
      <c r="B18" s="3">
        <v>1957</v>
      </c>
      <c r="C18" s="4">
        <v>15.5</v>
      </c>
      <c r="D18" s="4">
        <v>27.7</v>
      </c>
      <c r="E18" s="3">
        <v>160</v>
      </c>
      <c r="F18" s="5">
        <v>8.18</v>
      </c>
      <c r="H18" s="7"/>
      <c r="I18" s="7"/>
      <c r="J18" s="7"/>
      <c r="K18" s="7"/>
      <c r="L18" s="7"/>
      <c r="M18" s="7"/>
      <c r="N18" s="7"/>
      <c r="O18" s="7"/>
      <c r="P18" s="7"/>
    </row>
    <row r="19" ht="15" spans="1:16">
      <c r="A19" s="2" t="s">
        <v>101</v>
      </c>
      <c r="B19" s="3">
        <v>5344</v>
      </c>
      <c r="C19" s="4">
        <v>15.2</v>
      </c>
      <c r="D19" s="4">
        <v>29.2</v>
      </c>
      <c r="E19" s="3">
        <v>382</v>
      </c>
      <c r="F19" s="5">
        <v>7.15</v>
      </c>
      <c r="H19" s="7"/>
      <c r="I19" s="7"/>
      <c r="J19" s="7"/>
      <c r="K19" s="7"/>
      <c r="L19" s="7"/>
      <c r="M19" s="7"/>
      <c r="N19" s="7"/>
      <c r="O19" s="7"/>
      <c r="P19" s="7"/>
    </row>
    <row r="20" ht="15" spans="1:16">
      <c r="A20" s="2" t="s">
        <v>102</v>
      </c>
      <c r="B20" s="3">
        <v>2080</v>
      </c>
      <c r="C20" s="4">
        <v>12.9</v>
      </c>
      <c r="D20" s="4">
        <v>24.9</v>
      </c>
      <c r="E20" s="3">
        <v>147</v>
      </c>
      <c r="F20" s="5">
        <v>7.07</v>
      </c>
      <c r="H20" s="7"/>
      <c r="I20" s="7"/>
      <c r="J20" s="7"/>
      <c r="K20" s="7"/>
      <c r="L20" s="7"/>
      <c r="M20" s="7"/>
      <c r="N20" s="7"/>
      <c r="O20" s="7"/>
      <c r="P20" s="7"/>
    </row>
    <row r="21" ht="15" spans="1:16">
      <c r="A21" s="2" t="s">
        <v>103</v>
      </c>
      <c r="B21" s="3">
        <v>886</v>
      </c>
      <c r="C21" s="4">
        <v>18</v>
      </c>
      <c r="D21" s="4">
        <v>32.4</v>
      </c>
      <c r="E21" s="3">
        <v>60</v>
      </c>
      <c r="F21" s="5">
        <v>6.77</v>
      </c>
      <c r="H21" s="7"/>
      <c r="I21" s="7"/>
      <c r="J21" s="7"/>
      <c r="K21" s="7"/>
      <c r="L21" s="7"/>
      <c r="M21" s="7"/>
      <c r="N21" s="7"/>
      <c r="O21" s="7"/>
      <c r="P21" s="7"/>
    </row>
    <row r="22" ht="15" spans="1:16">
      <c r="A22" s="2" t="s">
        <v>104</v>
      </c>
      <c r="B22" s="3">
        <v>40494</v>
      </c>
      <c r="C22" s="4">
        <v>8.7</v>
      </c>
      <c r="D22" s="4">
        <v>19.8</v>
      </c>
      <c r="E22" s="3">
        <v>2387</v>
      </c>
      <c r="F22" s="5">
        <v>5.89</v>
      </c>
      <c r="H22" s="7"/>
      <c r="I22" s="7"/>
      <c r="J22" s="7"/>
      <c r="K22" s="7"/>
      <c r="L22" s="7"/>
      <c r="M22" s="7"/>
      <c r="N22" s="7"/>
      <c r="O22" s="7"/>
      <c r="P22" s="7"/>
    </row>
    <row r="23" ht="15" spans="1:16">
      <c r="A23" s="2" t="s">
        <v>105</v>
      </c>
      <c r="B23" s="3">
        <v>11354</v>
      </c>
      <c r="C23" s="4">
        <v>11.9</v>
      </c>
      <c r="D23" s="4">
        <v>25.2</v>
      </c>
      <c r="E23" s="3">
        <v>637</v>
      </c>
      <c r="F23" s="5">
        <v>5.61</v>
      </c>
      <c r="H23" s="7"/>
      <c r="I23" s="7"/>
      <c r="J23" s="7"/>
      <c r="K23" s="7"/>
      <c r="L23" s="7"/>
      <c r="M23" s="7"/>
      <c r="N23" s="7"/>
      <c r="O23" s="7"/>
      <c r="P23" s="7"/>
    </row>
    <row r="24" ht="15" spans="1:16">
      <c r="A24" s="2" t="s">
        <v>106</v>
      </c>
      <c r="B24" s="3">
        <v>4923</v>
      </c>
      <c r="C24" s="4">
        <v>11.9</v>
      </c>
      <c r="D24" s="4">
        <v>25.3</v>
      </c>
      <c r="E24" s="3">
        <v>246</v>
      </c>
      <c r="F24" s="5">
        <v>5</v>
      </c>
      <c r="H24" s="7"/>
      <c r="I24" s="7"/>
      <c r="J24" s="7"/>
      <c r="K24" s="7"/>
      <c r="L24" s="7"/>
      <c r="M24" s="7"/>
      <c r="N24" s="7"/>
      <c r="O24" s="7"/>
      <c r="P24" s="7"/>
    </row>
    <row r="25" ht="15" spans="1:16">
      <c r="A25" s="2"/>
      <c r="B25" s="3"/>
      <c r="C25" s="4"/>
      <c r="D25" s="4"/>
      <c r="E25" s="3"/>
      <c r="F25" s="5"/>
      <c r="H25" s="7"/>
      <c r="I25" s="7"/>
      <c r="J25" s="7"/>
      <c r="K25" s="7"/>
      <c r="L25" s="7"/>
      <c r="M25" s="7"/>
      <c r="N25" s="7"/>
      <c r="O25" s="7"/>
      <c r="P25" s="7"/>
    </row>
    <row r="26" ht="15" spans="1:16">
      <c r="A26" s="2"/>
      <c r="B26" s="3"/>
      <c r="C26" s="4"/>
      <c r="D26" s="4"/>
      <c r="E26" s="3"/>
      <c r="F26" s="5"/>
      <c r="H26" s="7"/>
      <c r="I26" s="7"/>
      <c r="J26" s="7"/>
      <c r="K26" s="7"/>
      <c r="L26" s="7"/>
      <c r="M26" s="7"/>
      <c r="N26" s="7"/>
      <c r="O26" s="7"/>
      <c r="P26" s="7"/>
    </row>
    <row r="27" ht="15" spans="1:16">
      <c r="A27" s="2"/>
      <c r="B27" s="3"/>
      <c r="C27" s="4"/>
      <c r="D27" s="4"/>
      <c r="E27" s="3"/>
      <c r="F27" s="5"/>
      <c r="H27" s="7"/>
      <c r="I27" s="7"/>
      <c r="J27" s="7"/>
      <c r="K27" s="7"/>
      <c r="L27" s="7"/>
      <c r="M27" s="7"/>
      <c r="N27" s="7"/>
      <c r="O27" s="7"/>
      <c r="P27" s="7"/>
    </row>
    <row r="28" ht="15" spans="1:6">
      <c r="A28" s="2"/>
      <c r="B28" s="3"/>
      <c r="C28" s="4"/>
      <c r="D28" s="4"/>
      <c r="E28" s="3"/>
      <c r="F28" s="5"/>
    </row>
  </sheetData>
  <mergeCells count="1">
    <mergeCell ref="H17:P27"/>
  </mergeCells>
  <conditionalFormatting sqref="C2:C2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paperSize="1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KPI Dashboard</vt:lpstr>
      <vt:lpstr>RFM Segments</vt:lpstr>
      <vt:lpstr>Hypothesis Test</vt:lpstr>
      <vt:lpstr>Logistics Heatmap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23/ME/244 SATYAMYADAV</cp:lastModifiedBy>
  <dcterms:created xsi:type="dcterms:W3CDTF">2026-10-04T12:24:00Z</dcterms:created>
  <dcterms:modified xsi:type="dcterms:W3CDTF">2026-10-04T12:29:56Z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141C94BA9F984CC8B1F94618902D3778_12</vt:lpwstr>
  </property>
  <property fmtid="{D5CDD505-2E9C-101B-9397-08002B2CF9AE}" pid="3" name="KSOProductBuildVer">
    <vt:lpwstr>2057-12.2.0.23206</vt:lpwstr>
  </property>
</Properties>
</file>